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Все расх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руб.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расходов по категориям</a:t>
            </a:r>
          </a:p>
        </rich>
      </tx>
    </title>
    <plotArea>
      <pieChart>
        <varyColors val="1"/>
        <ser>
          <idx val="0"/>
          <order val="0"/>
          <tx>
            <strRef>
              <f>'Дашборд'!C4</f>
            </strRef>
          </tx>
          <spPr>
            <a:ln>
              <a:prstDash val="solid"/>
            </a:ln>
          </spPr>
          <cat>
            <numRef>
              <f>'Дашборд'!$B$5:$B$12</f>
            </numRef>
          </cat>
          <val>
            <numRef>
              <f>'Дашборд'!$C$5:$C$12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8" customWidth="1" min="3" max="3"/>
  </cols>
  <sheetData>
    <row r="2">
      <c r="B2" s="1" t="inlineStr">
        <is>
          <t>Аналитика расходов трекера</t>
        </is>
      </c>
    </row>
    <row r="4">
      <c r="B4" s="2" t="inlineStr">
        <is>
          <t>Категория</t>
        </is>
      </c>
      <c r="C4" s="2" t="inlineStr">
        <is>
          <t>Сумма</t>
        </is>
      </c>
    </row>
    <row r="5">
      <c r="B5" s="3" t="inlineStr">
        <is>
          <t>Здоровье</t>
        </is>
      </c>
      <c r="C5" s="4">
        <f>SUMIF('Все расходы'!C2:C76, B5, 'Все расходы'!D2:D76)</f>
        <v/>
      </c>
    </row>
    <row r="6">
      <c r="B6" s="5" t="inlineStr">
        <is>
          <t>Интернет и связь</t>
        </is>
      </c>
      <c r="C6" s="6">
        <f>SUMIF('Все расходы'!C2:C76, B6, 'Все расходы'!D2:D76)</f>
        <v/>
      </c>
    </row>
    <row r="7">
      <c r="B7" s="3" t="inlineStr">
        <is>
          <t>Кафе</t>
        </is>
      </c>
      <c r="C7" s="4">
        <f>SUMIF('Все расходы'!C2:C76, B7, 'Все расходы'!D2:D76)</f>
        <v/>
      </c>
    </row>
    <row r="8">
      <c r="B8" s="5" t="inlineStr">
        <is>
          <t>Коммунальные услуги</t>
        </is>
      </c>
      <c r="C8" s="6">
        <f>SUMIF('Все расходы'!C2:C76, B8, 'Все расходы'!D2:D76)</f>
        <v/>
      </c>
    </row>
    <row r="9">
      <c r="B9" s="3" t="inlineStr">
        <is>
          <t>Одежда</t>
        </is>
      </c>
      <c r="C9" s="4">
        <f>SUMIF('Все расходы'!C2:C76, B9, 'Все расходы'!D2:D76)</f>
        <v/>
      </c>
    </row>
    <row r="10">
      <c r="B10" s="5" t="inlineStr">
        <is>
          <t>Продукты</t>
        </is>
      </c>
      <c r="C10" s="6">
        <f>SUMIF('Все расходы'!C2:C76, B10, 'Все расходы'!D2:D76)</f>
        <v/>
      </c>
    </row>
    <row r="11">
      <c r="B11" s="3" t="inlineStr">
        <is>
          <t>Развлечения</t>
        </is>
      </c>
      <c r="C11" s="4">
        <f>SUMIF('Все расходы'!C2:C76, B11, 'Все расходы'!D2:D76)</f>
        <v/>
      </c>
    </row>
    <row r="12">
      <c r="B12" s="5" t="inlineStr">
        <is>
          <t>Транспорт</t>
        </is>
      </c>
      <c r="C12" s="6">
        <f>SUMIF('Все расходы'!C2:C76, B12, 'Все расходы'!D2:D76)</f>
        <v/>
      </c>
    </row>
    <row r="13">
      <c r="B13" s="7" t="inlineStr">
        <is>
          <t>Всего</t>
        </is>
      </c>
      <c r="C13" s="8">
        <f>SUM(C5:C12)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6" customWidth="1" min="4" max="4"/>
  </cols>
  <sheetData>
    <row r="1">
      <c r="A1" s="2" t="inlineStr">
        <is>
          <t>№ п/п</t>
        </is>
      </c>
      <c r="B1" s="2" t="inlineStr">
        <is>
          <t>Дата и время</t>
        </is>
      </c>
      <c r="C1" s="2" t="inlineStr">
        <is>
          <t>Категория</t>
        </is>
      </c>
      <c r="D1" s="2" t="inlineStr">
        <is>
          <t>Сумма (руб.)</t>
        </is>
      </c>
    </row>
    <row r="2">
      <c r="A2" s="9" t="n">
        <v>1</v>
      </c>
      <c r="B2" s="9" t="inlineStr">
        <is>
          <t>2026-05-01 09:51</t>
        </is>
      </c>
      <c r="C2" s="10" t="inlineStr">
        <is>
          <t>Коммунальные услуги</t>
        </is>
      </c>
      <c r="D2" s="6" t="n">
        <v>5796</v>
      </c>
    </row>
    <row r="3">
      <c r="A3" s="11" t="n">
        <v>2</v>
      </c>
      <c r="B3" s="11" t="inlineStr">
        <is>
          <t>2026-05-01 20:21</t>
        </is>
      </c>
      <c r="C3" s="12" t="inlineStr">
        <is>
          <t>Кафе</t>
        </is>
      </c>
      <c r="D3" s="4" t="n">
        <v>1037</v>
      </c>
    </row>
    <row r="4">
      <c r="A4" s="9" t="n">
        <v>3</v>
      </c>
      <c r="B4" s="9" t="inlineStr">
        <is>
          <t>2026-05-02 08:22</t>
        </is>
      </c>
      <c r="C4" s="10" t="inlineStr">
        <is>
          <t>Транспорт</t>
        </is>
      </c>
      <c r="D4" s="6" t="n">
        <v>110</v>
      </c>
    </row>
    <row r="5">
      <c r="A5" s="11" t="n">
        <v>4</v>
      </c>
      <c r="B5" s="11" t="inlineStr">
        <is>
          <t>2026-05-02 17:27</t>
        </is>
      </c>
      <c r="C5" s="12" t="inlineStr">
        <is>
          <t>Одежда</t>
        </is>
      </c>
      <c r="D5" s="4" t="n">
        <v>6146</v>
      </c>
    </row>
    <row r="6">
      <c r="A6" s="9" t="n">
        <v>5</v>
      </c>
      <c r="B6" s="9" t="inlineStr">
        <is>
          <t>2026-05-02 18:27</t>
        </is>
      </c>
      <c r="C6" s="10" t="inlineStr">
        <is>
          <t>Одежда</t>
        </is>
      </c>
      <c r="D6" s="6" t="n">
        <v>5675</v>
      </c>
    </row>
    <row r="7">
      <c r="A7" s="11" t="n">
        <v>6</v>
      </c>
      <c r="B7" s="11" t="inlineStr">
        <is>
          <t>2026-05-03 09:04</t>
        </is>
      </c>
      <c r="C7" s="12" t="inlineStr">
        <is>
          <t>Интернет и связь</t>
        </is>
      </c>
      <c r="D7" s="4" t="n">
        <v>550</v>
      </c>
    </row>
    <row r="8">
      <c r="A8" s="9" t="n">
        <v>7</v>
      </c>
      <c r="B8" s="9" t="inlineStr">
        <is>
          <t>2026-05-03 09:14</t>
        </is>
      </c>
      <c r="C8" s="10" t="inlineStr">
        <is>
          <t>Продукты</t>
        </is>
      </c>
      <c r="D8" s="6" t="n">
        <v>999</v>
      </c>
    </row>
    <row r="9">
      <c r="A9" s="11" t="n">
        <v>8</v>
      </c>
      <c r="B9" s="11" t="inlineStr">
        <is>
          <t>2026-05-03 13:48</t>
        </is>
      </c>
      <c r="C9" s="12" t="inlineStr">
        <is>
          <t>Коммунальные услуги</t>
        </is>
      </c>
      <c r="D9" s="4" t="n">
        <v>3881</v>
      </c>
    </row>
    <row r="10">
      <c r="A10" s="9" t="n">
        <v>9</v>
      </c>
      <c r="B10" s="9" t="inlineStr">
        <is>
          <t>2026-05-04 09:22</t>
        </is>
      </c>
      <c r="C10" s="10" t="inlineStr">
        <is>
          <t>Кафе</t>
        </is>
      </c>
      <c r="D10" s="6" t="n">
        <v>1772</v>
      </c>
    </row>
    <row r="11">
      <c r="A11" s="11" t="n">
        <v>10</v>
      </c>
      <c r="B11" s="11" t="inlineStr">
        <is>
          <t>2026-05-04 11:36</t>
        </is>
      </c>
      <c r="C11" s="12" t="inlineStr">
        <is>
          <t>Развлечения</t>
        </is>
      </c>
      <c r="D11" s="4" t="n">
        <v>2662</v>
      </c>
    </row>
    <row r="12">
      <c r="A12" s="9" t="n">
        <v>11</v>
      </c>
      <c r="B12" s="9" t="inlineStr">
        <is>
          <t>2026-05-04 14:39</t>
        </is>
      </c>
      <c r="C12" s="10" t="inlineStr">
        <is>
          <t>Кафе</t>
        </is>
      </c>
      <c r="D12" s="6" t="n">
        <v>1828</v>
      </c>
    </row>
    <row r="13">
      <c r="A13" s="11" t="n">
        <v>12</v>
      </c>
      <c r="B13" s="11" t="inlineStr">
        <is>
          <t>2026-05-04 21:30</t>
        </is>
      </c>
      <c r="C13" s="12" t="inlineStr">
        <is>
          <t>Кафе</t>
        </is>
      </c>
      <c r="D13" s="4" t="n">
        <v>2533</v>
      </c>
    </row>
    <row r="14">
      <c r="A14" s="9" t="n">
        <v>13</v>
      </c>
      <c r="B14" s="9" t="inlineStr">
        <is>
          <t>2026-05-05 09:20</t>
        </is>
      </c>
      <c r="C14" s="10" t="inlineStr">
        <is>
          <t>Коммунальные услуги</t>
        </is>
      </c>
      <c r="D14" s="6" t="n">
        <v>4016</v>
      </c>
    </row>
    <row r="15">
      <c r="A15" s="11" t="n">
        <v>14</v>
      </c>
      <c r="B15" s="11" t="inlineStr">
        <is>
          <t>2026-05-05 18:39</t>
        </is>
      </c>
      <c r="C15" s="12" t="inlineStr">
        <is>
          <t>Коммунальные услуги</t>
        </is>
      </c>
      <c r="D15" s="4" t="n">
        <v>4706</v>
      </c>
    </row>
    <row r="16">
      <c r="A16" s="9" t="n">
        <v>15</v>
      </c>
      <c r="B16" s="9" t="inlineStr">
        <is>
          <t>2026-05-05 21:41</t>
        </is>
      </c>
      <c r="C16" s="10" t="inlineStr">
        <is>
          <t>Здоровье</t>
        </is>
      </c>
      <c r="D16" s="6" t="n">
        <v>4172</v>
      </c>
    </row>
    <row r="17">
      <c r="A17" s="11" t="n">
        <v>16</v>
      </c>
      <c r="B17" s="11" t="inlineStr">
        <is>
          <t>2026-05-06 08:46</t>
        </is>
      </c>
      <c r="C17" s="12" t="inlineStr">
        <is>
          <t>Коммунальные услуги</t>
        </is>
      </c>
      <c r="D17" s="4" t="n">
        <v>5056</v>
      </c>
    </row>
    <row r="18">
      <c r="A18" s="9" t="n">
        <v>17</v>
      </c>
      <c r="B18" s="9" t="inlineStr">
        <is>
          <t>2026-05-06 13:05</t>
        </is>
      </c>
      <c r="C18" s="10" t="inlineStr">
        <is>
          <t>Развлечения</t>
        </is>
      </c>
      <c r="D18" s="6" t="n">
        <v>4376</v>
      </c>
    </row>
    <row r="19">
      <c r="A19" s="11" t="n">
        <v>18</v>
      </c>
      <c r="B19" s="11" t="inlineStr">
        <is>
          <t>2026-05-06 20:01</t>
        </is>
      </c>
      <c r="C19" s="12" t="inlineStr">
        <is>
          <t>Одежда</t>
        </is>
      </c>
      <c r="D19" s="4" t="n">
        <v>1622</v>
      </c>
    </row>
    <row r="20">
      <c r="A20" s="9" t="n">
        <v>19</v>
      </c>
      <c r="B20" s="9" t="inlineStr">
        <is>
          <t>2026-05-07 15:13</t>
        </is>
      </c>
      <c r="C20" s="10" t="inlineStr">
        <is>
          <t>Транспорт</t>
        </is>
      </c>
      <c r="D20" s="6" t="n">
        <v>240</v>
      </c>
    </row>
    <row r="21">
      <c r="A21" s="11" t="n">
        <v>20</v>
      </c>
      <c r="B21" s="11" t="inlineStr">
        <is>
          <t>2026-05-07 17:06</t>
        </is>
      </c>
      <c r="C21" s="12" t="inlineStr">
        <is>
          <t>Развлечения</t>
        </is>
      </c>
      <c r="D21" s="4" t="n">
        <v>1829</v>
      </c>
    </row>
    <row r="22">
      <c r="A22" s="9" t="n">
        <v>21</v>
      </c>
      <c r="B22" s="9" t="inlineStr">
        <is>
          <t>2026-05-08 17:52</t>
        </is>
      </c>
      <c r="C22" s="10" t="inlineStr">
        <is>
          <t>Транспорт</t>
        </is>
      </c>
      <c r="D22" s="6" t="n">
        <v>55</v>
      </c>
    </row>
    <row r="23">
      <c r="A23" s="11" t="n">
        <v>22</v>
      </c>
      <c r="B23" s="11" t="inlineStr">
        <is>
          <t>2026-05-08 18:29</t>
        </is>
      </c>
      <c r="C23" s="12" t="inlineStr">
        <is>
          <t>Интернет и связь</t>
        </is>
      </c>
      <c r="D23" s="4" t="n">
        <v>700</v>
      </c>
    </row>
    <row r="24">
      <c r="A24" s="9" t="n">
        <v>23</v>
      </c>
      <c r="B24" s="9" t="inlineStr">
        <is>
          <t>2026-05-08 18:53</t>
        </is>
      </c>
      <c r="C24" s="10" t="inlineStr">
        <is>
          <t>Одежда</t>
        </is>
      </c>
      <c r="D24" s="6" t="n">
        <v>7703</v>
      </c>
    </row>
    <row r="25">
      <c r="A25" s="11" t="n">
        <v>24</v>
      </c>
      <c r="B25" s="11" t="inlineStr">
        <is>
          <t>2026-05-08 21:28</t>
        </is>
      </c>
      <c r="C25" s="12" t="inlineStr">
        <is>
          <t>Кафе</t>
        </is>
      </c>
      <c r="D25" s="4" t="n">
        <v>789</v>
      </c>
    </row>
    <row r="26">
      <c r="A26" s="9" t="n">
        <v>25</v>
      </c>
      <c r="B26" s="9" t="inlineStr">
        <is>
          <t>2026-05-09 09:00</t>
        </is>
      </c>
      <c r="C26" s="10" t="inlineStr">
        <is>
          <t>Развлечения</t>
        </is>
      </c>
      <c r="D26" s="6" t="n">
        <v>1419</v>
      </c>
    </row>
    <row r="27">
      <c r="A27" s="11" t="n">
        <v>26</v>
      </c>
      <c r="B27" s="11" t="inlineStr">
        <is>
          <t>2026-05-09 16:05</t>
        </is>
      </c>
      <c r="C27" s="12" t="inlineStr">
        <is>
          <t>Одежда</t>
        </is>
      </c>
      <c r="D27" s="4" t="n">
        <v>3038</v>
      </c>
    </row>
    <row r="28">
      <c r="A28" s="9" t="n">
        <v>27</v>
      </c>
      <c r="B28" s="9" t="inlineStr">
        <is>
          <t>2026-05-09 18:36</t>
        </is>
      </c>
      <c r="C28" s="10" t="inlineStr">
        <is>
          <t>Транспорт</t>
        </is>
      </c>
      <c r="D28" s="6" t="n">
        <v>600</v>
      </c>
    </row>
    <row r="29">
      <c r="A29" s="11" t="n">
        <v>28</v>
      </c>
      <c r="B29" s="11" t="inlineStr">
        <is>
          <t>2026-05-09 22:16</t>
        </is>
      </c>
      <c r="C29" s="12" t="inlineStr">
        <is>
          <t>Транспорт</t>
        </is>
      </c>
      <c r="D29" s="4" t="n">
        <v>110</v>
      </c>
    </row>
    <row r="30">
      <c r="A30" s="9" t="n">
        <v>29</v>
      </c>
      <c r="B30" s="9" t="inlineStr">
        <is>
          <t>2026-05-10 16:03</t>
        </is>
      </c>
      <c r="C30" s="10" t="inlineStr">
        <is>
          <t>Одежда</t>
        </is>
      </c>
      <c r="D30" s="6" t="n">
        <v>1474</v>
      </c>
    </row>
    <row r="31">
      <c r="A31" s="11" t="n">
        <v>30</v>
      </c>
      <c r="B31" s="11" t="inlineStr">
        <is>
          <t>2026-05-10 19:55</t>
        </is>
      </c>
      <c r="C31" s="12" t="inlineStr">
        <is>
          <t>Развлечения</t>
        </is>
      </c>
      <c r="D31" s="4" t="n">
        <v>4230</v>
      </c>
    </row>
    <row r="32">
      <c r="A32" s="9" t="n">
        <v>31</v>
      </c>
      <c r="B32" s="9" t="inlineStr">
        <is>
          <t>2026-05-11 21:01</t>
        </is>
      </c>
      <c r="C32" s="10" t="inlineStr">
        <is>
          <t>Одежда</t>
        </is>
      </c>
      <c r="D32" s="6" t="n">
        <v>4526</v>
      </c>
    </row>
    <row r="33">
      <c r="A33" s="11" t="n">
        <v>32</v>
      </c>
      <c r="B33" s="11" t="inlineStr">
        <is>
          <t>2026-05-12 09:26</t>
        </is>
      </c>
      <c r="C33" s="12" t="inlineStr">
        <is>
          <t>Развлечения</t>
        </is>
      </c>
      <c r="D33" s="4" t="n">
        <v>4875</v>
      </c>
    </row>
    <row r="34">
      <c r="A34" s="9" t="n">
        <v>33</v>
      </c>
      <c r="B34" s="9" t="inlineStr">
        <is>
          <t>2026-05-12 14:49</t>
        </is>
      </c>
      <c r="C34" s="10" t="inlineStr">
        <is>
          <t>Здоровье</t>
        </is>
      </c>
      <c r="D34" s="6" t="n">
        <v>4109</v>
      </c>
    </row>
    <row r="35">
      <c r="A35" s="11" t="n">
        <v>34</v>
      </c>
      <c r="B35" s="11" t="inlineStr">
        <is>
          <t>2026-05-12 21:33</t>
        </is>
      </c>
      <c r="C35" s="12" t="inlineStr">
        <is>
          <t>Кафе</t>
        </is>
      </c>
      <c r="D35" s="4" t="n">
        <v>2395</v>
      </c>
    </row>
    <row r="36">
      <c r="A36" s="9" t="n">
        <v>35</v>
      </c>
      <c r="B36" s="9" t="inlineStr">
        <is>
          <t>2026-05-12 22:45</t>
        </is>
      </c>
      <c r="C36" s="10" t="inlineStr">
        <is>
          <t>Продукты</t>
        </is>
      </c>
      <c r="D36" s="6" t="n">
        <v>1187</v>
      </c>
    </row>
    <row r="37">
      <c r="A37" s="11" t="n">
        <v>36</v>
      </c>
      <c r="B37" s="11" t="inlineStr">
        <is>
          <t>2026-05-14 10:37</t>
        </is>
      </c>
      <c r="C37" s="12" t="inlineStr">
        <is>
          <t>Здоровье</t>
        </is>
      </c>
      <c r="D37" s="4" t="n">
        <v>3394</v>
      </c>
    </row>
    <row r="38">
      <c r="A38" s="9" t="n">
        <v>37</v>
      </c>
      <c r="B38" s="9" t="inlineStr">
        <is>
          <t>2026-05-14 11:25</t>
        </is>
      </c>
      <c r="C38" s="10" t="inlineStr">
        <is>
          <t>Кафе</t>
        </is>
      </c>
      <c r="D38" s="6" t="n">
        <v>504</v>
      </c>
    </row>
    <row r="39">
      <c r="A39" s="11" t="n">
        <v>38</v>
      </c>
      <c r="B39" s="11" t="inlineStr">
        <is>
          <t>2026-05-14 15:29</t>
        </is>
      </c>
      <c r="C39" s="12" t="inlineStr">
        <is>
          <t>Здоровье</t>
        </is>
      </c>
      <c r="D39" s="4" t="n">
        <v>1261</v>
      </c>
    </row>
    <row r="40">
      <c r="A40" s="9" t="n">
        <v>39</v>
      </c>
      <c r="B40" s="9" t="inlineStr">
        <is>
          <t>2026-05-14 16:07</t>
        </is>
      </c>
      <c r="C40" s="10" t="inlineStr">
        <is>
          <t>Здоровье</t>
        </is>
      </c>
      <c r="D40" s="6" t="n">
        <v>2392</v>
      </c>
    </row>
    <row r="41">
      <c r="A41" s="11" t="n">
        <v>40</v>
      </c>
      <c r="B41" s="11" t="inlineStr">
        <is>
          <t>2026-05-14 17:18</t>
        </is>
      </c>
      <c r="C41" s="12" t="inlineStr">
        <is>
          <t>Развлечения</t>
        </is>
      </c>
      <c r="D41" s="4" t="n">
        <v>719</v>
      </c>
    </row>
    <row r="42">
      <c r="A42" s="9" t="n">
        <v>41</v>
      </c>
      <c r="B42" s="9" t="inlineStr">
        <is>
          <t>2026-05-15 14:56</t>
        </is>
      </c>
      <c r="C42" s="10" t="inlineStr">
        <is>
          <t>Транспорт</t>
        </is>
      </c>
      <c r="D42" s="6" t="n">
        <v>1400</v>
      </c>
    </row>
    <row r="43">
      <c r="A43" s="11" t="n">
        <v>42</v>
      </c>
      <c r="B43" s="11" t="inlineStr">
        <is>
          <t>2026-05-15 17:20</t>
        </is>
      </c>
      <c r="C43" s="12" t="inlineStr">
        <is>
          <t>Продукты</t>
        </is>
      </c>
      <c r="D43" s="4" t="n">
        <v>1746</v>
      </c>
    </row>
    <row r="44">
      <c r="A44" s="9" t="n">
        <v>43</v>
      </c>
      <c r="B44" s="9" t="inlineStr">
        <is>
          <t>2026-05-15 21:29</t>
        </is>
      </c>
      <c r="C44" s="10" t="inlineStr">
        <is>
          <t>Коммунальные услуги</t>
        </is>
      </c>
      <c r="D44" s="6" t="n">
        <v>6067</v>
      </c>
    </row>
    <row r="45">
      <c r="A45" s="11" t="n">
        <v>44</v>
      </c>
      <c r="B45" s="11" t="inlineStr">
        <is>
          <t>2026-05-16 10:17</t>
        </is>
      </c>
      <c r="C45" s="12" t="inlineStr">
        <is>
          <t>Коммунальные услуги</t>
        </is>
      </c>
      <c r="D45" s="4" t="n">
        <v>5880</v>
      </c>
    </row>
    <row r="46">
      <c r="A46" s="9" t="n">
        <v>45</v>
      </c>
      <c r="B46" s="9" t="inlineStr">
        <is>
          <t>2026-05-18 13:02</t>
        </is>
      </c>
      <c r="C46" s="10" t="inlineStr">
        <is>
          <t>Одежда</t>
        </is>
      </c>
      <c r="D46" s="6" t="n">
        <v>8620</v>
      </c>
    </row>
    <row r="47">
      <c r="A47" s="11" t="n">
        <v>46</v>
      </c>
      <c r="B47" s="11" t="inlineStr">
        <is>
          <t>2026-05-18 20:15</t>
        </is>
      </c>
      <c r="C47" s="12" t="inlineStr">
        <is>
          <t>Кафе</t>
        </is>
      </c>
      <c r="D47" s="4" t="n">
        <v>1399</v>
      </c>
    </row>
    <row r="48">
      <c r="A48" s="9" t="n">
        <v>47</v>
      </c>
      <c r="B48" s="9" t="inlineStr">
        <is>
          <t>2026-05-19 08:57</t>
        </is>
      </c>
      <c r="C48" s="10" t="inlineStr">
        <is>
          <t>Кафе</t>
        </is>
      </c>
      <c r="D48" s="6" t="n">
        <v>377</v>
      </c>
    </row>
    <row r="49">
      <c r="A49" s="11" t="n">
        <v>48</v>
      </c>
      <c r="B49" s="11" t="inlineStr">
        <is>
          <t>2026-05-19 12:59</t>
        </is>
      </c>
      <c r="C49" s="12" t="inlineStr">
        <is>
          <t>Одежда</t>
        </is>
      </c>
      <c r="D49" s="4" t="n">
        <v>3746</v>
      </c>
    </row>
    <row r="50">
      <c r="A50" s="9" t="n">
        <v>49</v>
      </c>
      <c r="B50" s="9" t="inlineStr">
        <is>
          <t>2026-05-19 16:09</t>
        </is>
      </c>
      <c r="C50" s="10" t="inlineStr">
        <is>
          <t>Здоровье</t>
        </is>
      </c>
      <c r="D50" s="6" t="n">
        <v>3839</v>
      </c>
    </row>
    <row r="51">
      <c r="A51" s="11" t="n">
        <v>50</v>
      </c>
      <c r="B51" s="11" t="inlineStr">
        <is>
          <t>2026-05-19 18:57</t>
        </is>
      </c>
      <c r="C51" s="12" t="inlineStr">
        <is>
          <t>Интернет и связь</t>
        </is>
      </c>
      <c r="D51" s="4" t="n">
        <v>700</v>
      </c>
    </row>
    <row r="52">
      <c r="A52" s="9" t="n">
        <v>51</v>
      </c>
      <c r="B52" s="9" t="inlineStr">
        <is>
          <t>2026-05-20 18:23</t>
        </is>
      </c>
      <c r="C52" s="10" t="inlineStr">
        <is>
          <t>Здоровье</t>
        </is>
      </c>
      <c r="D52" s="6" t="n">
        <v>2540</v>
      </c>
    </row>
    <row r="53">
      <c r="A53" s="11" t="n">
        <v>52</v>
      </c>
      <c r="B53" s="11" t="inlineStr">
        <is>
          <t>2026-05-20 21:22</t>
        </is>
      </c>
      <c r="C53" s="12" t="inlineStr">
        <is>
          <t>Продукты</t>
        </is>
      </c>
      <c r="D53" s="4" t="n">
        <v>1459</v>
      </c>
    </row>
    <row r="54">
      <c r="A54" s="9" t="n">
        <v>53</v>
      </c>
      <c r="B54" s="9" t="inlineStr">
        <is>
          <t>2026-05-21 10:27</t>
        </is>
      </c>
      <c r="C54" s="10" t="inlineStr">
        <is>
          <t>Интернет и связь</t>
        </is>
      </c>
      <c r="D54" s="6" t="n">
        <v>450</v>
      </c>
    </row>
    <row r="55">
      <c r="A55" s="11" t="n">
        <v>54</v>
      </c>
      <c r="B55" s="11" t="inlineStr">
        <is>
          <t>2026-05-21 11:03</t>
        </is>
      </c>
      <c r="C55" s="12" t="inlineStr">
        <is>
          <t>Развлечения</t>
        </is>
      </c>
      <c r="D55" s="4" t="n">
        <v>2540</v>
      </c>
    </row>
    <row r="56">
      <c r="A56" s="9" t="n">
        <v>55</v>
      </c>
      <c r="B56" s="9" t="inlineStr">
        <is>
          <t>2026-05-21 15:07</t>
        </is>
      </c>
      <c r="C56" s="10" t="inlineStr">
        <is>
          <t>Продукты</t>
        </is>
      </c>
      <c r="D56" s="6" t="n">
        <v>2349</v>
      </c>
    </row>
    <row r="57">
      <c r="A57" s="11" t="n">
        <v>56</v>
      </c>
      <c r="B57" s="11" t="inlineStr">
        <is>
          <t>2026-05-21 20:19</t>
        </is>
      </c>
      <c r="C57" s="12" t="inlineStr">
        <is>
          <t>Продукты</t>
        </is>
      </c>
      <c r="D57" s="4" t="n">
        <v>2140</v>
      </c>
    </row>
    <row r="58">
      <c r="A58" s="9" t="n">
        <v>57</v>
      </c>
      <c r="B58" s="9" t="inlineStr">
        <is>
          <t>2026-05-23 09:44</t>
        </is>
      </c>
      <c r="C58" s="10" t="inlineStr">
        <is>
          <t>Интернет и связь</t>
        </is>
      </c>
      <c r="D58" s="6" t="n">
        <v>550</v>
      </c>
    </row>
    <row r="59">
      <c r="A59" s="11" t="n">
        <v>58</v>
      </c>
      <c r="B59" s="11" t="inlineStr">
        <is>
          <t>2026-05-23 11:50</t>
        </is>
      </c>
      <c r="C59" s="12" t="inlineStr">
        <is>
          <t>Развлечения</t>
        </is>
      </c>
      <c r="D59" s="4" t="n">
        <v>750</v>
      </c>
    </row>
    <row r="60">
      <c r="A60" s="9" t="n">
        <v>59</v>
      </c>
      <c r="B60" s="9" t="inlineStr">
        <is>
          <t>2026-05-23 13:17</t>
        </is>
      </c>
      <c r="C60" s="10" t="inlineStr">
        <is>
          <t>Здоровье</t>
        </is>
      </c>
      <c r="D60" s="6" t="n">
        <v>346</v>
      </c>
    </row>
    <row r="61">
      <c r="A61" s="11" t="n">
        <v>60</v>
      </c>
      <c r="B61" s="11" t="inlineStr">
        <is>
          <t>2026-05-23 15:25</t>
        </is>
      </c>
      <c r="C61" s="12" t="inlineStr">
        <is>
          <t>Кафе</t>
        </is>
      </c>
      <c r="D61" s="4" t="n">
        <v>2136</v>
      </c>
    </row>
    <row r="62">
      <c r="A62" s="9" t="n">
        <v>61</v>
      </c>
      <c r="B62" s="9" t="inlineStr">
        <is>
          <t>2026-05-23 18:09</t>
        </is>
      </c>
      <c r="C62" s="10" t="inlineStr">
        <is>
          <t>Транспорт</t>
        </is>
      </c>
      <c r="D62" s="6" t="n">
        <v>55</v>
      </c>
    </row>
    <row r="63">
      <c r="A63" s="11" t="n">
        <v>62</v>
      </c>
      <c r="B63" s="11" t="inlineStr">
        <is>
          <t>2026-05-24 09:55</t>
        </is>
      </c>
      <c r="C63" s="12" t="inlineStr">
        <is>
          <t>Одежда</t>
        </is>
      </c>
      <c r="D63" s="4" t="n">
        <v>3021</v>
      </c>
    </row>
    <row r="64">
      <c r="A64" s="9" t="n">
        <v>63</v>
      </c>
      <c r="B64" s="9" t="inlineStr">
        <is>
          <t>2026-05-24 22:28</t>
        </is>
      </c>
      <c r="C64" s="10" t="inlineStr">
        <is>
          <t>Здоровье</t>
        </is>
      </c>
      <c r="D64" s="6" t="n">
        <v>1166</v>
      </c>
    </row>
    <row r="65">
      <c r="A65" s="11" t="n">
        <v>64</v>
      </c>
      <c r="B65" s="11" t="inlineStr">
        <is>
          <t>2026-05-28 08:06</t>
        </is>
      </c>
      <c r="C65" s="12" t="inlineStr">
        <is>
          <t>Транспорт</t>
        </is>
      </c>
      <c r="D65" s="4" t="n">
        <v>1400</v>
      </c>
    </row>
    <row r="66">
      <c r="A66" s="9" t="n">
        <v>65</v>
      </c>
      <c r="B66" s="9" t="inlineStr">
        <is>
          <t>2026-05-28 14:07</t>
        </is>
      </c>
      <c r="C66" s="10" t="inlineStr">
        <is>
          <t>Здоровье</t>
        </is>
      </c>
      <c r="D66" s="6" t="n">
        <v>4151</v>
      </c>
    </row>
    <row r="67">
      <c r="A67" s="11" t="n">
        <v>66</v>
      </c>
      <c r="B67" s="11" t="inlineStr">
        <is>
          <t>2026-05-28 22:48</t>
        </is>
      </c>
      <c r="C67" s="12" t="inlineStr">
        <is>
          <t>Продукты</t>
        </is>
      </c>
      <c r="D67" s="4" t="n">
        <v>622</v>
      </c>
    </row>
    <row r="68">
      <c r="A68" s="9" t="n">
        <v>67</v>
      </c>
      <c r="B68" s="9" t="inlineStr">
        <is>
          <t>2026-05-29 10:01</t>
        </is>
      </c>
      <c r="C68" s="10" t="inlineStr">
        <is>
          <t>Кафе</t>
        </is>
      </c>
      <c r="D68" s="6" t="n">
        <v>891</v>
      </c>
    </row>
    <row r="69">
      <c r="A69" s="11" t="n">
        <v>68</v>
      </c>
      <c r="B69" s="11" t="inlineStr">
        <is>
          <t>2026-05-30 10:31</t>
        </is>
      </c>
      <c r="C69" s="12" t="inlineStr">
        <is>
          <t>Коммунальные услуги</t>
        </is>
      </c>
      <c r="D69" s="4" t="n">
        <v>5912</v>
      </c>
    </row>
    <row r="70">
      <c r="A70" s="9" t="n">
        <v>69</v>
      </c>
      <c r="B70" s="9" t="inlineStr">
        <is>
          <t>2026-05-30 10:32</t>
        </is>
      </c>
      <c r="C70" s="10" t="inlineStr">
        <is>
          <t>Коммунальные услуги</t>
        </is>
      </c>
      <c r="D70" s="6" t="n">
        <v>4956</v>
      </c>
    </row>
    <row r="71">
      <c r="A71" s="11" t="n">
        <v>70</v>
      </c>
      <c r="B71" s="11" t="inlineStr">
        <is>
          <t>2026-05-31 09:21</t>
        </is>
      </c>
      <c r="C71" s="12" t="inlineStr">
        <is>
          <t>Интернет и связь</t>
        </is>
      </c>
      <c r="D71" s="4" t="n">
        <v>700</v>
      </c>
    </row>
    <row r="72">
      <c r="A72" s="9" t="n">
        <v>71</v>
      </c>
      <c r="B72" s="9" t="inlineStr">
        <is>
          <t>2026-05-31 09:27</t>
        </is>
      </c>
      <c r="C72" s="10" t="inlineStr">
        <is>
          <t>Здоровье</t>
        </is>
      </c>
      <c r="D72" s="6" t="n">
        <v>4181</v>
      </c>
    </row>
    <row r="73">
      <c r="A73" s="11" t="n">
        <v>72</v>
      </c>
      <c r="B73" s="11" t="inlineStr">
        <is>
          <t>2026-05-31 12:33</t>
        </is>
      </c>
      <c r="C73" s="12" t="inlineStr">
        <is>
          <t>Развлечения</t>
        </is>
      </c>
      <c r="D73" s="4" t="n">
        <v>1801</v>
      </c>
    </row>
    <row r="74">
      <c r="A74" s="9" t="n">
        <v>73</v>
      </c>
      <c r="B74" s="9" t="inlineStr">
        <is>
          <t>2026-05-31 13:53</t>
        </is>
      </c>
      <c r="C74" s="10" t="inlineStr">
        <is>
          <t>Развлечения</t>
        </is>
      </c>
      <c r="D74" s="6" t="n">
        <v>1665</v>
      </c>
    </row>
    <row r="75">
      <c r="A75" s="11" t="n">
        <v>74</v>
      </c>
      <c r="B75" s="11" t="inlineStr">
        <is>
          <t>2026-05-31 14:15</t>
        </is>
      </c>
      <c r="C75" s="12" t="inlineStr">
        <is>
          <t>Одежда</t>
        </is>
      </c>
      <c r="D75" s="4" t="n">
        <v>1216</v>
      </c>
    </row>
    <row r="76">
      <c r="A76" s="9" t="n">
        <v>75</v>
      </c>
      <c r="B76" s="9" t="inlineStr">
        <is>
          <t>2026-05-31 15:46</t>
        </is>
      </c>
      <c r="C76" s="10" t="inlineStr">
        <is>
          <t>Транспорт</t>
        </is>
      </c>
      <c r="D76" s="6" t="n">
        <v>1400</v>
      </c>
    </row>
    <row r="77">
      <c r="A77" s="13" t="inlineStr">
        <is>
          <t>Итого:</t>
        </is>
      </c>
      <c r="B77" s="14" t="n"/>
      <c r="C77" s="14" t="n"/>
      <c r="D77" s="8">
        <f>SUM(D2:D76)</f>
        <v/>
      </c>
    </row>
  </sheetData>
  <mergeCells count="1">
    <mergeCell ref="A77:C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2026-06-01T13:37:37Z</dcterms:created>
  <dcterms:modified xsi:type="dcterms:W3CDTF">2026-06-01T13:37:37Z</dcterms:modified>
</cp:coreProperties>
</file>